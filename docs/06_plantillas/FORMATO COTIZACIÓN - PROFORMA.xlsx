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MATVILL\CLIENTES\MAT 2025\AGOSTO\DIA 26\A&amp;F Samfor\MODIFICADO\"/>
    </mc:Choice>
  </mc:AlternateContent>
  <bookViews>
    <workbookView xWindow="0" yWindow="0" windowWidth="20490" windowHeight="7650"/>
  </bookViews>
  <sheets>
    <sheet name="ProForma" sheetId="1" r:id="rId1"/>
  </sheets>
  <calcPr calcId="162913"/>
</workbook>
</file>

<file path=xl/calcChain.xml><?xml version="1.0" encoding="utf-8"?>
<calcChain xmlns="http://schemas.openxmlformats.org/spreadsheetml/2006/main">
  <c r="H7" i="1" l="1"/>
  <c r="H36" i="1" l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38" i="1" l="1"/>
  <c r="H40" i="1" s="1"/>
  <c r="H41" i="1" s="1"/>
  <c r="H43" i="1" s="1"/>
</calcChain>
</file>

<file path=xl/sharedStrings.xml><?xml version="1.0" encoding="utf-8"?>
<sst xmlns="http://schemas.openxmlformats.org/spreadsheetml/2006/main" count="33" uniqueCount="29">
  <si>
    <t>Cliente</t>
  </si>
  <si>
    <t>Total parcial</t>
  </si>
  <si>
    <t>Pagado</t>
  </si>
  <si>
    <t>Empresa</t>
  </si>
  <si>
    <t>CANT.</t>
  </si>
  <si>
    <t>TOTAL</t>
  </si>
  <si>
    <t>DESCRIPCIÓN</t>
  </si>
  <si>
    <t>Nº de Pro-forma</t>
  </si>
  <si>
    <t>P. UNITARIO</t>
  </si>
  <si>
    <t>Términos y Condiciones</t>
  </si>
  <si>
    <t>Gracias por la Preferencia!!!</t>
  </si>
  <si>
    <t>Descuento (%)</t>
  </si>
  <si>
    <t>NETO</t>
  </si>
  <si>
    <t>Envío Delivery</t>
  </si>
  <si>
    <t>Fecha</t>
  </si>
  <si>
    <t>PRO-FORMA</t>
  </si>
  <si>
    <t>Impuestos (IGV)</t>
  </si>
  <si>
    <t>Juan Martinez Prado</t>
  </si>
  <si>
    <t>Jr. Ayacucho 123</t>
  </si>
  <si>
    <r>
      <rPr>
        <b/>
        <sz val="11"/>
        <color rgb="FF595959"/>
        <rFont val="Roboto"/>
      </rPr>
      <t>1.-</t>
    </r>
    <r>
      <rPr>
        <sz val="10"/>
        <color rgb="FF595959"/>
        <rFont val="Roboto"/>
      </rPr>
      <t xml:space="preserve"> Duración de la Oferta </t>
    </r>
    <r>
      <rPr>
        <b/>
        <sz val="11"/>
        <color rgb="FF595959"/>
        <rFont val="Roboto"/>
      </rPr>
      <t>15 días</t>
    </r>
    <r>
      <rPr>
        <sz val="10"/>
        <color rgb="FF595959"/>
        <rFont val="Roboto"/>
      </rPr>
      <t xml:space="preserve">
</t>
    </r>
    <r>
      <rPr>
        <b/>
        <sz val="11"/>
        <color rgb="FF595959"/>
        <rFont val="Roboto"/>
      </rPr>
      <t>2.-</t>
    </r>
    <r>
      <rPr>
        <sz val="10"/>
        <color rgb="FF595959"/>
        <rFont val="Roboto"/>
      </rPr>
      <t xml:space="preserve"> Adelanto del </t>
    </r>
    <r>
      <rPr>
        <b/>
        <sz val="11"/>
        <color rgb="FF595959"/>
        <rFont val="Roboto"/>
      </rPr>
      <t>50%</t>
    </r>
    <r>
      <rPr>
        <sz val="10"/>
        <color rgb="FF595959"/>
        <rFont val="Roboto"/>
      </rPr>
      <t xml:space="preserve"> antes del envío
</t>
    </r>
    <r>
      <rPr>
        <b/>
        <sz val="11"/>
        <color rgb="FF595959"/>
        <rFont val="Roboto"/>
      </rPr>
      <t xml:space="preserve">3.- </t>
    </r>
    <r>
      <rPr>
        <sz val="10"/>
        <color rgb="FF595959"/>
        <rFont val="Roboto"/>
      </rPr>
      <t xml:space="preserve">Entregado el producto o ejecutado el servicio </t>
    </r>
    <r>
      <rPr>
        <b/>
        <sz val="11"/>
        <color rgb="FF595959"/>
        <rFont val="Roboto"/>
      </rPr>
      <t>no existen devoluciones.</t>
    </r>
    <r>
      <rPr>
        <sz val="10"/>
        <color rgb="FF595959"/>
        <rFont val="Roboto"/>
      </rPr>
      <t xml:space="preserve">
</t>
    </r>
  </si>
  <si>
    <t>ejemplo@gmail.com</t>
  </si>
  <si>
    <t>999 999 999</t>
  </si>
  <si>
    <t>x</t>
  </si>
  <si>
    <t>EMPRESA</t>
  </si>
  <si>
    <t>wwwwwwwwwwwww</t>
  </si>
  <si>
    <t>A&amp;F SAMFOR</t>
  </si>
  <si>
    <t>Paz Soldan 357</t>
  </si>
  <si>
    <t xml:space="preserve">935 080 021
</t>
  </si>
  <si>
    <t xml:space="preserve"> Afsamfor@gmail.com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</si>
</sst>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mm/dd/yy"/>
    <numFmt numFmtId="165" formatCode="dd/mm/yyyy"/>
    <numFmt numFmtId="166" formatCode="000000"/>
    <numFmt numFmtId="167" formatCode="&quot;S/&quot;\ #,##0.00"/>
    <numFmt numFmtId="168" formatCode="_-&quot;$&quot;* #,##0.00_-;\-&quot;$&quot;* #,##0.00_-;_-&quot;$&quot;* &quot;-&quot;??_-;_-@"/>
  </numFmts>
  <fonts count="41">
    <font>
      <sz val="10"/>
      <name val="Arial"/>
    </font>
    <font>
      <sz val="12"/>
      <color rgb="FF000000"/>
      <name val="Roboto"/>
    </font>
    <font>
      <b/>
      <sz val="20"/>
      <color rgb="FFA5A5A5"/>
      <name val="Roboto"/>
    </font>
    <font>
      <b/>
      <sz val="22"/>
      <color rgb="FF4472C4"/>
      <name val="Roboto"/>
    </font>
    <font>
      <sz val="10"/>
      <name val="Roboto"/>
    </font>
    <font>
      <sz val="18"/>
      <color rgb="FF7F7F7F"/>
      <name val="Roboto"/>
    </font>
    <font>
      <sz val="16"/>
      <color rgb="FF333F4F"/>
      <name val="Roboto"/>
    </font>
    <font>
      <sz val="11"/>
      <color rgb="FF333F4F"/>
      <name val="Roboto"/>
    </font>
    <font>
      <u/>
      <sz val="10"/>
      <color rgb="FF0463C1"/>
      <name val="Arial"/>
    </font>
    <font>
      <sz val="11"/>
      <color rgb="FFFFFFFF"/>
      <name val="Roboto"/>
    </font>
    <font>
      <b/>
      <sz val="12"/>
      <color rgb="FF1F3864"/>
      <name val="Roboto"/>
    </font>
    <font>
      <b/>
      <sz val="9"/>
      <color rgb="FF1F3864"/>
      <name val="Roboto"/>
    </font>
    <font>
      <sz val="10"/>
      <color rgb="FF000000"/>
      <name val="Roboto"/>
    </font>
    <font>
      <sz val="11"/>
      <color rgb="FF000000"/>
      <name val="Roboto"/>
    </font>
    <font>
      <sz val="10"/>
      <color rgb="FF000000"/>
      <name val="Arial"/>
    </font>
    <font>
      <sz val="11"/>
      <color rgb="FF0070C0"/>
      <name val="Roboto"/>
    </font>
    <font>
      <i/>
      <sz val="9"/>
      <color rgb="FF333F4F"/>
      <name val="Roboto"/>
    </font>
    <font>
      <sz val="12"/>
      <color rgb="FF1F3864"/>
      <name val="Roboto"/>
    </font>
    <font>
      <sz val="11"/>
      <color rgb="FF1F3864"/>
      <name val="Roboto"/>
    </font>
    <font>
      <sz val="10"/>
      <color rgb="FF000000"/>
      <name val="Arial"/>
    </font>
    <font>
      <b/>
      <sz val="12"/>
      <color rgb="FFFFFFFF"/>
      <name val="Roboto"/>
    </font>
    <font>
      <sz val="10"/>
      <color rgb="FF595959"/>
      <name val="Roboto"/>
    </font>
    <font>
      <b/>
      <sz val="12"/>
      <color rgb="FF3F3F3F"/>
      <name val="Roboto"/>
    </font>
    <font>
      <b/>
      <sz val="12"/>
      <color rgb="FF3F3F3F"/>
      <name val="Arial"/>
    </font>
    <font>
      <b/>
      <sz val="12"/>
      <color rgb="FF333F4F"/>
      <name val="Roboto"/>
    </font>
    <font>
      <b/>
      <sz val="11"/>
      <color rgb="FF333F4F"/>
      <name val="Roboto"/>
    </font>
    <font>
      <b/>
      <sz val="11"/>
      <color rgb="FF000000"/>
      <name val="Roboto"/>
    </font>
    <font>
      <sz val="9"/>
      <color rgb="FF000000"/>
      <name val="Roboto"/>
    </font>
    <font>
      <sz val="10"/>
      <color rgb="FF595959"/>
      <name val="Roboto"/>
    </font>
    <font>
      <sz val="10"/>
      <color rgb="FF595959"/>
      <name val="Arial"/>
    </font>
    <font>
      <sz val="18"/>
      <color rgb="FF333F4F"/>
      <name val="Roboto"/>
    </font>
    <font>
      <b/>
      <sz val="9"/>
      <name val="Roboto"/>
    </font>
    <font>
      <sz val="10"/>
      <name val="Arial"/>
    </font>
    <font>
      <sz val="10"/>
      <color rgb="FF333F4F"/>
      <name val="Roboto"/>
    </font>
    <font>
      <sz val="11"/>
      <color rgb="FF262626"/>
      <name val="Roboto"/>
    </font>
    <font>
      <b/>
      <sz val="11"/>
      <color rgb="FF595959"/>
      <name val="Roboto"/>
    </font>
    <font>
      <u/>
      <sz val="10"/>
      <name val="Arial"/>
      <family val="2"/>
    </font>
    <font>
      <b/>
      <sz val="12"/>
      <color theme="1" tint="0.249977111117893"/>
      <name val="Roboto"/>
    </font>
    <font>
      <b/>
      <sz val="28"/>
      <color theme="1" tint="0.499984740745262"/>
      <name val="Tusker Grotesk 4600 Semibold"/>
    </font>
    <font>
      <sz val="12"/>
      <color rgb="FF333F4F"/>
      <name val="Roboto"/>
    </font>
    <font>
      <b/>
      <sz val="14"/>
      <color theme="0"/>
      <name val="Roboto"/>
    </font>
  </fonts>
  <fills count="11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3F3F3"/>
      </patternFill>
    </fill>
    <fill>
      <patternFill patternType="solid">
        <fgColor rgb="FFFF2525"/>
        <bgColor indexed="64"/>
      </patternFill>
    </fill>
    <fill>
      <patternFill patternType="solid">
        <fgColor rgb="FFFF2525"/>
        <bgColor rgb="FFFF5722"/>
      </patternFill>
    </fill>
    <fill>
      <patternFill patternType="solid">
        <fgColor rgb="FFFF1D1D"/>
        <bgColor rgb="FFF4CCCC"/>
      </patternFill>
    </fill>
  </fills>
  <borders count="13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ADAAAA"/>
      </left>
      <right style="thin">
        <color rgb="FFADAAAA"/>
      </right>
      <top/>
      <bottom/>
      <diagonal/>
    </border>
    <border>
      <left style="thin">
        <color rgb="FFADAAAA"/>
      </left>
      <right/>
      <top/>
      <bottom/>
      <diagonal/>
    </border>
    <border>
      <left/>
      <right style="thin">
        <color rgb="FFADAAAA"/>
      </right>
      <top/>
      <bottom/>
      <diagonal/>
    </border>
    <border>
      <left style="thin">
        <color rgb="FFADAAAA"/>
      </left>
      <right style="thin">
        <color rgb="FFADAAAA"/>
      </right>
      <top/>
      <bottom style="thin">
        <color rgb="FFADAAAA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8" fillId="0" borderId="0">
      <alignment vertical="top"/>
      <protection locked="0"/>
    </xf>
  </cellStyleXfs>
  <cellXfs count="101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Alignment="1">
      <alignment horizontal="right" vertical="center"/>
    </xf>
    <xf numFmtId="0" fontId="4" fillId="2" borderId="0" xfId="0" applyFont="1" applyFill="1" applyAlignment="1"/>
    <xf numFmtId="0" fontId="5" fillId="2" borderId="0" xfId="0" applyFont="1" applyFill="1" applyAlignment="1">
      <alignment horizontal="left" vertical="center" wrapText="1"/>
    </xf>
    <xf numFmtId="0" fontId="6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164" fontId="12" fillId="2" borderId="0" xfId="0" applyNumberFormat="1" applyFont="1" applyFill="1" applyAlignment="1">
      <alignment horizontal="center" vertical="center"/>
    </xf>
    <xf numFmtId="165" fontId="13" fillId="2" borderId="0" xfId="0" applyNumberFormat="1" applyFont="1" applyFill="1" applyAlignment="1">
      <alignment horizontal="center" vertical="center"/>
    </xf>
    <xf numFmtId="165" fontId="12" fillId="2" borderId="0" xfId="0" applyNumberFormat="1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166" fontId="13" fillId="2" borderId="0" xfId="0" applyNumberFormat="1" applyFont="1" applyFill="1" applyAlignment="1">
      <alignment horizontal="center" vertical="top"/>
    </xf>
    <xf numFmtId="0" fontId="4" fillId="0" borderId="0" xfId="0" applyFont="1" applyAlignment="1"/>
    <xf numFmtId="0" fontId="7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right" vertical="top"/>
    </xf>
    <xf numFmtId="0" fontId="10" fillId="0" borderId="1" xfId="0" applyFont="1" applyBorder="1" applyAlignment="1">
      <alignment horizontal="left" vertical="center"/>
    </xf>
    <xf numFmtId="0" fontId="17" fillId="0" borderId="1" xfId="0" applyFont="1" applyBorder="1">
      <alignment vertical="center"/>
    </xf>
    <xf numFmtId="0" fontId="18" fillId="0" borderId="0" xfId="0" applyFont="1">
      <alignment vertical="center"/>
    </xf>
    <xf numFmtId="0" fontId="12" fillId="0" borderId="0" xfId="0" applyFo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9" fillId="0" borderId="0" xfId="0" applyFont="1" applyAlignment="1"/>
    <xf numFmtId="3" fontId="21" fillId="0" borderId="4" xfId="0" applyNumberFormat="1" applyFont="1" applyFill="1" applyBorder="1" applyAlignment="1">
      <alignment horizontal="center" vertical="center"/>
    </xf>
    <xf numFmtId="167" fontId="21" fillId="0" borderId="4" xfId="0" applyNumberFormat="1" applyFont="1" applyFill="1" applyBorder="1" applyAlignment="1">
      <alignment horizontal="center" vertical="center"/>
    </xf>
    <xf numFmtId="3" fontId="21" fillId="3" borderId="4" xfId="0" applyNumberFormat="1" applyFont="1" applyFill="1" applyBorder="1" applyAlignment="1">
      <alignment horizontal="center" vertical="center"/>
    </xf>
    <xf numFmtId="167" fontId="21" fillId="3" borderId="4" xfId="0" applyNumberFormat="1" applyFont="1" applyFill="1" applyBorder="1" applyAlignment="1">
      <alignment horizontal="center" vertical="center"/>
    </xf>
    <xf numFmtId="0" fontId="14" fillId="0" borderId="0" xfId="0" applyFont="1" applyAlignment="1"/>
    <xf numFmtId="3" fontId="21" fillId="0" borderId="7" xfId="0" applyNumberFormat="1" applyFont="1" applyFill="1" applyBorder="1" applyAlignment="1">
      <alignment horizontal="center" vertical="center"/>
    </xf>
    <xf numFmtId="167" fontId="21" fillId="0" borderId="7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24" fillId="0" borderId="0" xfId="0" applyFont="1" applyAlignment="1">
      <alignment horizontal="right"/>
    </xf>
    <xf numFmtId="0" fontId="25" fillId="0" borderId="8" xfId="0" applyFont="1" applyBorder="1" applyAlignment="1">
      <alignment horizontal="right" vertical="center"/>
    </xf>
    <xf numFmtId="4" fontId="26" fillId="0" borderId="9" xfId="0" applyNumberFormat="1" applyFont="1" applyBorder="1" applyAlignment="1">
      <alignment horizontal="center" vertical="center"/>
    </xf>
    <xf numFmtId="2" fontId="27" fillId="0" borderId="0" xfId="0" applyNumberFormat="1" applyFont="1">
      <alignment vertical="center"/>
    </xf>
    <xf numFmtId="0" fontId="25" fillId="0" borderId="0" xfId="0" applyFont="1" applyAlignment="1">
      <alignment horizontal="right" vertical="center"/>
    </xf>
    <xf numFmtId="2" fontId="13" fillId="4" borderId="9" xfId="0" applyNumberFormat="1" applyFont="1" applyFill="1" applyBorder="1" applyAlignment="1">
      <alignment horizontal="center" vertical="center"/>
    </xf>
    <xf numFmtId="4" fontId="13" fillId="0" borderId="9" xfId="0" applyNumberFormat="1" applyFont="1" applyBorder="1" applyAlignment="1">
      <alignment horizontal="center" vertical="center"/>
    </xf>
    <xf numFmtId="10" fontId="27" fillId="0" borderId="0" xfId="0" applyNumberFormat="1" applyFont="1">
      <alignment vertical="center"/>
    </xf>
    <xf numFmtId="4" fontId="13" fillId="4" borderId="9" xfId="0" applyNumberFormat="1" applyFont="1" applyFill="1" applyBorder="1" applyAlignment="1">
      <alignment horizontal="center" vertical="center"/>
    </xf>
    <xf numFmtId="0" fontId="25" fillId="0" borderId="10" xfId="0" applyFont="1" applyBorder="1" applyAlignment="1">
      <alignment horizontal="right" vertical="center"/>
    </xf>
    <xf numFmtId="4" fontId="27" fillId="0" borderId="0" xfId="0" applyNumberFormat="1" applyFont="1">
      <alignment vertical="center"/>
    </xf>
    <xf numFmtId="0" fontId="30" fillId="0" borderId="0" xfId="0" applyFont="1" applyAlignment="1">
      <alignment horizontal="center" vertical="center"/>
    </xf>
    <xf numFmtId="0" fontId="24" fillId="0" borderId="11" xfId="0" applyFont="1" applyBorder="1" applyAlignment="1">
      <alignment horizontal="right" vertical="center"/>
    </xf>
    <xf numFmtId="168" fontId="31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6" fillId="0" borderId="0" xfId="0" applyFont="1">
      <alignment vertical="center"/>
    </xf>
    <xf numFmtId="0" fontId="37" fillId="2" borderId="1" xfId="0" applyFont="1" applyFill="1" applyBorder="1" applyAlignment="1">
      <alignment horizontal="center" vertical="center"/>
    </xf>
    <xf numFmtId="0" fontId="37" fillId="0" borderId="1" xfId="0" applyFont="1" applyBorder="1" applyAlignment="1">
      <alignment horizontal="left" vertical="center"/>
    </xf>
    <xf numFmtId="0" fontId="0" fillId="6" borderId="0" xfId="0" applyFill="1">
      <alignment vertical="center"/>
    </xf>
    <xf numFmtId="0" fontId="7" fillId="7" borderId="0" xfId="0" applyFont="1" applyFill="1" applyAlignment="1">
      <alignment horizontal="left" vertical="center"/>
    </xf>
    <xf numFmtId="0" fontId="8" fillId="0" borderId="0" xfId="1">
      <alignment vertical="top"/>
      <protection locked="0"/>
    </xf>
    <xf numFmtId="0" fontId="39" fillId="2" borderId="0" xfId="0" applyFont="1" applyFill="1" applyAlignment="1">
      <alignment horizontal="left" vertical="center"/>
    </xf>
    <xf numFmtId="0" fontId="20" fillId="8" borderId="0" xfId="0" applyFont="1" applyFill="1" applyBorder="1" applyAlignment="1">
      <alignment horizontal="center" vertical="center"/>
    </xf>
    <xf numFmtId="0" fontId="20" fillId="8" borderId="3" xfId="0" applyFont="1" applyFill="1" applyBorder="1" applyAlignment="1">
      <alignment horizontal="center" vertical="center"/>
    </xf>
    <xf numFmtId="0" fontId="1" fillId="9" borderId="0" xfId="0" applyFont="1" applyFill="1">
      <alignment vertical="center"/>
    </xf>
    <xf numFmtId="0" fontId="2" fillId="9" borderId="0" xfId="0" applyFont="1" applyFill="1">
      <alignment vertical="center"/>
    </xf>
    <xf numFmtId="0" fontId="3" fillId="9" borderId="0" xfId="0" applyFont="1" applyFill="1">
      <alignment vertical="center"/>
    </xf>
    <xf numFmtId="0" fontId="3" fillId="9" borderId="0" xfId="0" applyFont="1" applyFill="1" applyAlignment="1">
      <alignment horizontal="right" vertical="center"/>
    </xf>
    <xf numFmtId="0" fontId="4" fillId="9" borderId="0" xfId="0" applyFont="1" applyFill="1" applyAlignment="1"/>
    <xf numFmtId="0" fontId="8" fillId="0" borderId="0" xfId="1" applyAlignment="1">
      <alignment vertical="top"/>
      <protection locked="0"/>
    </xf>
    <xf numFmtId="167" fontId="40" fillId="10" borderId="12" xfId="0" applyNumberFormat="1" applyFont="1" applyFill="1" applyBorder="1" applyAlignment="1">
      <alignment horizontal="center" vertical="center"/>
    </xf>
    <xf numFmtId="0" fontId="21" fillId="3" borderId="4" xfId="0" applyFont="1" applyFill="1" applyBorder="1" applyAlignment="1">
      <alignment horizontal="center" vertical="center"/>
    </xf>
    <xf numFmtId="0" fontId="38" fillId="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4" fillId="0" borderId="0" xfId="0" applyFont="1" applyAlignment="1"/>
    <xf numFmtId="0" fontId="20" fillId="8" borderId="2" xfId="0" applyFont="1" applyFill="1" applyBorder="1" applyAlignment="1">
      <alignment horizontal="center" vertical="center"/>
    </xf>
    <xf numFmtId="0" fontId="20" fillId="8" borderId="0" xfId="0" applyFont="1" applyFill="1" applyBorder="1" applyAlignment="1">
      <alignment horizontal="center" vertical="center"/>
    </xf>
    <xf numFmtId="0" fontId="20" fillId="8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9" fillId="0" borderId="0" xfId="0" applyFont="1" applyAlignment="1"/>
    <xf numFmtId="0" fontId="21" fillId="0" borderId="4" xfId="0" applyFont="1" applyFill="1" applyBorder="1" applyAlignment="1">
      <alignment horizontal="center" vertical="center"/>
    </xf>
    <xf numFmtId="0" fontId="34" fillId="0" borderId="0" xfId="0" applyFont="1" applyAlignment="1">
      <alignment horizontal="center"/>
    </xf>
    <xf numFmtId="0" fontId="16" fillId="0" borderId="0" xfId="0" applyFont="1" applyAlignment="1">
      <alignment horizontal="right" vertical="top"/>
    </xf>
    <xf numFmtId="0" fontId="21" fillId="3" borderId="5" xfId="0" applyFont="1" applyFill="1" applyBorder="1" applyAlignment="1">
      <alignment horizontal="center" vertical="center"/>
    </xf>
    <xf numFmtId="0" fontId="21" fillId="3" borderId="0" xfId="0" applyFont="1" applyFill="1" applyBorder="1" applyAlignment="1">
      <alignment horizontal="center" vertical="center"/>
    </xf>
    <xf numFmtId="0" fontId="21" fillId="3" borderId="6" xfId="0" applyFont="1" applyFill="1" applyBorder="1" applyAlignment="1">
      <alignment horizontal="center" vertical="center"/>
    </xf>
    <xf numFmtId="0" fontId="28" fillId="0" borderId="0" xfId="0" applyFont="1" applyAlignment="1">
      <alignment horizontal="left" vertical="center" wrapText="1"/>
    </xf>
    <xf numFmtId="0" fontId="29" fillId="0" borderId="0" xfId="0" applyFont="1" applyAlignment="1">
      <alignment horizontal="left"/>
    </xf>
    <xf numFmtId="0" fontId="22" fillId="0" borderId="0" xfId="0" applyFont="1" applyAlignment="1">
      <alignment vertical="center" wrapText="1"/>
    </xf>
    <xf numFmtId="0" fontId="23" fillId="0" borderId="0" xfId="0" applyFont="1" applyAlignment="1"/>
    <xf numFmtId="0" fontId="8" fillId="0" borderId="0" xfId="1" applyAlignment="1" applyProtection="1">
      <alignment horizontal="left" vertical="center"/>
    </xf>
    <xf numFmtId="0" fontId="33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1" fillId="0" borderId="7" xfId="0" applyFont="1" applyFill="1" applyBorder="1" applyAlignment="1">
      <alignment horizontal="center" vertical="center"/>
    </xf>
    <xf numFmtId="0" fontId="21" fillId="0" borderId="5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1" fillId="0" borderId="6" xfId="0" applyFont="1" applyFill="1" applyBorder="1" applyAlignment="1">
      <alignment horizontal="center" vertical="center"/>
    </xf>
    <xf numFmtId="0" fontId="27" fillId="5" borderId="0" xfId="0" applyFont="1" applyFill="1" applyBorder="1" applyAlignment="1">
      <alignment horizontal="center"/>
    </xf>
    <xf numFmtId="0" fontId="32" fillId="0" borderId="0" xfId="0" applyFont="1" applyBorder="1" applyAlignment="1">
      <alignment horizontal="center"/>
    </xf>
  </cellXfs>
  <cellStyles count="2">
    <cellStyle name="Hipervínculo" xfId="1"/>
    <cellStyle name="Normal" xfId="0" builtinId="0"/>
  </cellStyles>
  <dxfs count="0"/>
  <tableStyles count="0" defaultTableStyle="TableStyleMedium2" defaultPivotStyle="PivotStyleLight16"/>
  <colors>
    <mruColors>
      <color rgb="FFFF1D1D"/>
      <color rgb="FFFF2525"/>
      <color rgb="FFFF1515"/>
      <color rgb="FFCC0000"/>
      <color rgb="FFFAC86E"/>
      <color rgb="FFFAC458"/>
      <color rgb="FFFFE989"/>
      <color rgb="FFFFE7A3"/>
      <color rgb="FFFFDE81"/>
      <color rgb="FFFFE2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220345</xdr:colOff>
      <xdr:row>3</xdr:row>
      <xdr:rowOff>184356</xdr:rowOff>
    </xdr:from>
    <xdr:to>
      <xdr:col>1</xdr:col>
      <xdr:colOff>141964</xdr:colOff>
      <xdr:row>4</xdr:row>
      <xdr:rowOff>161736</xdr:rowOff>
    </xdr:to>
    <xdr:sp macro="" textlink="">
      <xdr:nvSpPr>
        <xdr:cNvPr id="2" name="CustGemo"/>
        <xdr:cNvSpPr/>
      </xdr:nvSpPr>
      <xdr:spPr>
        <a:xfrm>
          <a:off x="220345" y="901291"/>
          <a:ext cx="208393" cy="202703"/>
        </a:xfrm>
        <a:custGeom>
          <a:avLst/>
          <a:gdLst>
            <a:gd name="T0" fmla="*/ 10800 w 21600"/>
            <a:gd name="T1" fmla="*/ 0 h 21600"/>
            <a:gd name="T2" fmla="*/ 0 w 21600"/>
            <a:gd name="T3" fmla="*/ 10800 h 21600"/>
            <a:gd name="T4" fmla="*/ 10800 w 21600"/>
            <a:gd name="T5" fmla="*/ 21600 h 21600"/>
            <a:gd name="T6" fmla="*/ 21600 w 21600"/>
            <a:gd name="T7" fmla="*/ 10800 h 21600"/>
            <a:gd name="T8" fmla="*/ 10800 w 21600"/>
            <a:gd name="T9" fmla="*/ 0 h 21600"/>
            <a:gd name="T10" fmla="*/ 9637 w 21600"/>
            <a:gd name="T11" fmla="*/ 18942 h 21600"/>
            <a:gd name="T12" fmla="*/ 7809 w 21600"/>
            <a:gd name="T13" fmla="*/ 17114 h 21600"/>
            <a:gd name="T14" fmla="*/ 7809 w 21600"/>
            <a:gd name="T15" fmla="*/ 4486 h 21600"/>
            <a:gd name="T16" fmla="*/ 9637 w 21600"/>
            <a:gd name="T17" fmla="*/ 2658 h 21600"/>
            <a:gd name="T18" fmla="*/ 9637 w 21600"/>
            <a:gd name="T19" fmla="*/ 18942 h 21600"/>
            <a:gd name="T20" fmla="*/ 13791 w 21600"/>
            <a:gd name="T21" fmla="*/ 17778 h 21600"/>
            <a:gd name="T22" fmla="*/ 12628 w 21600"/>
            <a:gd name="T23" fmla="*/ 18942 h 21600"/>
            <a:gd name="T24" fmla="*/ 10800 w 21600"/>
            <a:gd name="T25" fmla="*/ 18942 h 21600"/>
            <a:gd name="T26" fmla="*/ 10800 w 21600"/>
            <a:gd name="T27" fmla="*/ 13625 h 21600"/>
            <a:gd name="T28" fmla="*/ 12628 w 21600"/>
            <a:gd name="T29" fmla="*/ 13625 h 21600"/>
            <a:gd name="T30" fmla="*/ 13791 w 21600"/>
            <a:gd name="T31" fmla="*/ 14788 h 21600"/>
            <a:gd name="T32" fmla="*/ 13791 w 21600"/>
            <a:gd name="T33" fmla="*/ 17778 h 21600"/>
            <a:gd name="T34" fmla="*/ 13791 w 21600"/>
            <a:gd name="T35" fmla="*/ 6812 h 21600"/>
            <a:gd name="T36" fmla="*/ 12628 w 21600"/>
            <a:gd name="T37" fmla="*/ 7975 h 21600"/>
            <a:gd name="T38" fmla="*/ 10800 w 21600"/>
            <a:gd name="T39" fmla="*/ 7975 h 21600"/>
            <a:gd name="T40" fmla="*/ 10800 w 21600"/>
            <a:gd name="T41" fmla="*/ 2658 h 21600"/>
            <a:gd name="T42" fmla="*/ 12628 w 21600"/>
            <a:gd name="T43" fmla="*/ 2658 h 21600"/>
            <a:gd name="T44" fmla="*/ 13791 w 21600"/>
            <a:gd name="T45" fmla="*/ 3822 h 21600"/>
            <a:gd name="T46" fmla="*/ 13791 w 21600"/>
            <a:gd name="T47" fmla="*/ 6812 h 2160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</a:cxnLst>
          <a:rect l="0" t="0" r="r" b="b"/>
          <a:pathLst>
            <a:path w="21600" h="21600">
              <a:moveTo>
                <a:pt x="10800" y="0"/>
              </a:moveTo>
              <a:cubicBezTo>
                <a:pt x="4818" y="0"/>
                <a:pt x="0" y="4818"/>
                <a:pt x="0" y="10800"/>
              </a:cubicBezTo>
              <a:cubicBezTo>
                <a:pt x="0" y="16782"/>
                <a:pt x="4818" y="21600"/>
                <a:pt x="10800" y="21600"/>
              </a:cubicBezTo>
              <a:cubicBezTo>
                <a:pt x="16782" y="21600"/>
                <a:pt x="21600" y="16782"/>
                <a:pt x="21600" y="10800"/>
              </a:cubicBezTo>
              <a:cubicBezTo>
                <a:pt x="21600" y="4818"/>
                <a:pt x="16781" y="0"/>
                <a:pt x="10800" y="0"/>
              </a:cubicBezTo>
              <a:close/>
              <a:moveTo>
                <a:pt x="9637" y="18942"/>
              </a:moveTo>
              <a:cubicBezTo>
                <a:pt x="8640" y="18942"/>
                <a:pt x="7809" y="18111"/>
                <a:pt x="7809" y="17114"/>
              </a:cubicBezTo>
              <a:lnTo>
                <a:pt x="7809" y="4486"/>
              </a:lnTo>
              <a:cubicBezTo>
                <a:pt x="7809" y="3489"/>
                <a:pt x="8640" y="2658"/>
                <a:pt x="9637" y="2658"/>
              </a:cubicBezTo>
              <a:lnTo>
                <a:pt x="9637" y="18942"/>
              </a:lnTo>
              <a:close/>
              <a:moveTo>
                <a:pt x="13791" y="17778"/>
              </a:moveTo>
              <a:cubicBezTo>
                <a:pt x="13791" y="18443"/>
                <a:pt x="13292" y="18942"/>
                <a:pt x="12628" y="18942"/>
              </a:cubicBezTo>
              <a:lnTo>
                <a:pt x="10800" y="18942"/>
              </a:lnTo>
              <a:lnTo>
                <a:pt x="10800" y="13625"/>
              </a:lnTo>
              <a:lnTo>
                <a:pt x="12628" y="13625"/>
              </a:lnTo>
              <a:cubicBezTo>
                <a:pt x="13292" y="13625"/>
                <a:pt x="13791" y="14123"/>
                <a:pt x="13791" y="14788"/>
              </a:cubicBezTo>
              <a:lnTo>
                <a:pt x="13791" y="17778"/>
              </a:lnTo>
              <a:close/>
              <a:moveTo>
                <a:pt x="13791" y="6812"/>
              </a:moveTo>
              <a:cubicBezTo>
                <a:pt x="13791" y="7477"/>
                <a:pt x="13292" y="7975"/>
                <a:pt x="12628" y="7975"/>
              </a:cubicBezTo>
              <a:lnTo>
                <a:pt x="10800" y="7975"/>
              </a:lnTo>
              <a:lnTo>
                <a:pt x="10800" y="2658"/>
              </a:lnTo>
              <a:lnTo>
                <a:pt x="12628" y="2658"/>
              </a:lnTo>
              <a:cubicBezTo>
                <a:pt x="13292" y="2658"/>
                <a:pt x="13791" y="3157"/>
                <a:pt x="13791" y="3822"/>
              </a:cubicBezTo>
              <a:lnTo>
                <a:pt x="13791" y="6812"/>
              </a:lnTo>
            </a:path>
          </a:pathLst>
        </a:custGeom>
        <a:solidFill>
          <a:srgbClr val="FF2525"/>
        </a:solidFill>
        <a:ln w="1270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198862</xdr:colOff>
      <xdr:row>5</xdr:row>
      <xdr:rowOff>0</xdr:rowOff>
    </xdr:from>
    <xdr:to>
      <xdr:col>1</xdr:col>
      <xdr:colOff>126534</xdr:colOff>
      <xdr:row>5</xdr:row>
      <xdr:rowOff>215205</xdr:rowOff>
    </xdr:to>
    <xdr:sp macro="" textlink="">
      <xdr:nvSpPr>
        <xdr:cNvPr id="3" name="CustGemo"/>
        <xdr:cNvSpPr/>
      </xdr:nvSpPr>
      <xdr:spPr>
        <a:xfrm>
          <a:off x="198862" y="1167581"/>
          <a:ext cx="214446" cy="215205"/>
        </a:xfrm>
        <a:custGeom>
          <a:avLst/>
          <a:gdLst>
            <a:gd name="T0" fmla="*/ 14123 w 21600"/>
            <a:gd name="T1" fmla="*/ 7145 h 21600"/>
            <a:gd name="T2" fmla="*/ 7311 w 21600"/>
            <a:gd name="T3" fmla="*/ 7145 h 21600"/>
            <a:gd name="T4" fmla="*/ 10634 w 21600"/>
            <a:gd name="T5" fmla="*/ 9803 h 21600"/>
            <a:gd name="T6" fmla="*/ 14123 w 21600"/>
            <a:gd name="T7" fmla="*/ 7145 h 21600"/>
            <a:gd name="T8" fmla="*/ 10800 w 21600"/>
            <a:gd name="T9" fmla="*/ 0 h 21600"/>
            <a:gd name="T10" fmla="*/ 0 w 21600"/>
            <a:gd name="T11" fmla="*/ 10800 h 21600"/>
            <a:gd name="T12" fmla="*/ 10800 w 21600"/>
            <a:gd name="T13" fmla="*/ 21600 h 21600"/>
            <a:gd name="T14" fmla="*/ 21600 w 21600"/>
            <a:gd name="T15" fmla="*/ 10800 h 21600"/>
            <a:gd name="T16" fmla="*/ 10800 w 21600"/>
            <a:gd name="T17" fmla="*/ 0 h 21600"/>
            <a:gd name="T18" fmla="*/ 17446 w 21600"/>
            <a:gd name="T19" fmla="*/ 14123 h 21600"/>
            <a:gd name="T20" fmla="*/ 15286 w 21600"/>
            <a:gd name="T21" fmla="*/ 16283 h 21600"/>
            <a:gd name="T22" fmla="*/ 6480 w 21600"/>
            <a:gd name="T23" fmla="*/ 16283 h 21600"/>
            <a:gd name="T24" fmla="*/ 4320 w 21600"/>
            <a:gd name="T25" fmla="*/ 14123 h 21600"/>
            <a:gd name="T26" fmla="*/ 4320 w 21600"/>
            <a:gd name="T27" fmla="*/ 7643 h 21600"/>
            <a:gd name="T28" fmla="*/ 6480 w 21600"/>
            <a:gd name="T29" fmla="*/ 5483 h 21600"/>
            <a:gd name="T30" fmla="*/ 15286 w 21600"/>
            <a:gd name="T31" fmla="*/ 5483 h 21600"/>
            <a:gd name="T32" fmla="*/ 17446 w 21600"/>
            <a:gd name="T33" fmla="*/ 7643 h 21600"/>
            <a:gd name="T34" fmla="*/ 17446 w 21600"/>
            <a:gd name="T35" fmla="*/ 14123 h 21600"/>
            <a:gd name="T36" fmla="*/ 5815 w 21600"/>
            <a:gd name="T37" fmla="*/ 7975 h 21600"/>
            <a:gd name="T38" fmla="*/ 5815 w 21600"/>
            <a:gd name="T39" fmla="*/ 14123 h 21600"/>
            <a:gd name="T40" fmla="*/ 6314 w 21600"/>
            <a:gd name="T41" fmla="*/ 14622 h 21600"/>
            <a:gd name="T42" fmla="*/ 15120 w 21600"/>
            <a:gd name="T43" fmla="*/ 14622 h 21600"/>
            <a:gd name="T44" fmla="*/ 15618 w 21600"/>
            <a:gd name="T45" fmla="*/ 14123 h 21600"/>
            <a:gd name="T46" fmla="*/ 15618 w 21600"/>
            <a:gd name="T47" fmla="*/ 7975 h 21600"/>
            <a:gd name="T48" fmla="*/ 10634 w 21600"/>
            <a:gd name="T49" fmla="*/ 11963 h 21600"/>
            <a:gd name="T50" fmla="*/ 5815 w 21600"/>
            <a:gd name="T51" fmla="*/ 7975 h 2160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</a:cxnLst>
          <a:rect l="0" t="0" r="r" b="b"/>
          <a:pathLst>
            <a:path w="21600" h="21600">
              <a:moveTo>
                <a:pt x="14123" y="7145"/>
              </a:moveTo>
              <a:lnTo>
                <a:pt x="7311" y="7145"/>
              </a:lnTo>
              <a:lnTo>
                <a:pt x="10634" y="9803"/>
              </a:lnTo>
              <a:lnTo>
                <a:pt x="14123" y="7145"/>
              </a:lnTo>
              <a:close/>
              <a:moveTo>
                <a:pt x="10800" y="0"/>
              </a:moveTo>
              <a:cubicBezTo>
                <a:pt x="4818" y="0"/>
                <a:pt x="0" y="4818"/>
                <a:pt x="0" y="10800"/>
              </a:cubicBezTo>
              <a:cubicBezTo>
                <a:pt x="0" y="16782"/>
                <a:pt x="4818" y="21600"/>
                <a:pt x="10800" y="21600"/>
              </a:cubicBezTo>
              <a:cubicBezTo>
                <a:pt x="16782" y="21600"/>
                <a:pt x="21600" y="16782"/>
                <a:pt x="21600" y="10800"/>
              </a:cubicBezTo>
              <a:cubicBezTo>
                <a:pt x="21600" y="4818"/>
                <a:pt x="16781" y="0"/>
                <a:pt x="10800" y="0"/>
              </a:cubicBezTo>
              <a:close/>
              <a:moveTo>
                <a:pt x="17446" y="14123"/>
              </a:moveTo>
              <a:cubicBezTo>
                <a:pt x="17446" y="15286"/>
                <a:pt x="16449" y="16283"/>
                <a:pt x="15286" y="16283"/>
              </a:cubicBezTo>
              <a:lnTo>
                <a:pt x="6480" y="16283"/>
              </a:lnTo>
              <a:cubicBezTo>
                <a:pt x="5317" y="16283"/>
                <a:pt x="4320" y="15286"/>
                <a:pt x="4320" y="14123"/>
              </a:cubicBezTo>
              <a:lnTo>
                <a:pt x="4320" y="7643"/>
              </a:lnTo>
              <a:cubicBezTo>
                <a:pt x="4320" y="6480"/>
                <a:pt x="5317" y="5483"/>
                <a:pt x="6480" y="5483"/>
              </a:cubicBezTo>
              <a:lnTo>
                <a:pt x="15286" y="5483"/>
              </a:lnTo>
              <a:cubicBezTo>
                <a:pt x="16449" y="5483"/>
                <a:pt x="17446" y="6480"/>
                <a:pt x="17446" y="7643"/>
              </a:cubicBezTo>
              <a:lnTo>
                <a:pt x="17446" y="14123"/>
              </a:lnTo>
              <a:close/>
              <a:moveTo>
                <a:pt x="5815" y="7975"/>
              </a:moveTo>
              <a:lnTo>
                <a:pt x="5815" y="14123"/>
              </a:lnTo>
              <a:cubicBezTo>
                <a:pt x="5815" y="14455"/>
                <a:pt x="5982" y="14622"/>
                <a:pt x="6314" y="14622"/>
              </a:cubicBezTo>
              <a:lnTo>
                <a:pt x="15120" y="14622"/>
              </a:lnTo>
              <a:cubicBezTo>
                <a:pt x="15452" y="14622"/>
                <a:pt x="15618" y="14455"/>
                <a:pt x="15618" y="14123"/>
              </a:cubicBezTo>
              <a:lnTo>
                <a:pt x="15618" y="7975"/>
              </a:lnTo>
              <a:lnTo>
                <a:pt x="10634" y="11963"/>
              </a:lnTo>
              <a:lnTo>
                <a:pt x="5815" y="7975"/>
              </a:lnTo>
            </a:path>
          </a:pathLst>
        </a:custGeom>
        <a:solidFill>
          <a:srgbClr val="FF2525"/>
        </a:solidFill>
        <a:ln w="1270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0</xdr:col>
      <xdr:colOff>203185</xdr:colOff>
      <xdr:row>6</xdr:row>
      <xdr:rowOff>12501</xdr:rowOff>
    </xdr:from>
    <xdr:to>
      <xdr:col>1</xdr:col>
      <xdr:colOff>134316</xdr:colOff>
      <xdr:row>7</xdr:row>
      <xdr:rowOff>0</xdr:rowOff>
    </xdr:to>
    <xdr:sp macro="" textlink="">
      <xdr:nvSpPr>
        <xdr:cNvPr id="7" name="CustGemo"/>
        <xdr:cNvSpPr/>
      </xdr:nvSpPr>
      <xdr:spPr>
        <a:xfrm>
          <a:off x="203185" y="1405404"/>
          <a:ext cx="217905" cy="212822"/>
        </a:xfrm>
        <a:custGeom>
          <a:avLst/>
          <a:gdLst>
            <a:gd name="T0" fmla="*/ 7311 w 21600"/>
            <a:gd name="T1" fmla="*/ 15286 h 21600"/>
            <a:gd name="T2" fmla="*/ 8474 w 21600"/>
            <a:gd name="T3" fmla="*/ 11631 h 21600"/>
            <a:gd name="T4" fmla="*/ 5317 w 21600"/>
            <a:gd name="T5" fmla="*/ 11631 h 21600"/>
            <a:gd name="T6" fmla="*/ 7311 w 21600"/>
            <a:gd name="T7" fmla="*/ 15286 h 21600"/>
            <a:gd name="T8" fmla="*/ 7311 w 21600"/>
            <a:gd name="T9" fmla="*/ 6480 h 21600"/>
            <a:gd name="T10" fmla="*/ 5317 w 21600"/>
            <a:gd name="T11" fmla="*/ 10135 h 21600"/>
            <a:gd name="T12" fmla="*/ 8474 w 21600"/>
            <a:gd name="T13" fmla="*/ 10135 h 21600"/>
            <a:gd name="T14" fmla="*/ 7311 w 21600"/>
            <a:gd name="T15" fmla="*/ 6480 h 21600"/>
            <a:gd name="T16" fmla="*/ 10800 w 21600"/>
            <a:gd name="T17" fmla="*/ 0 h 21600"/>
            <a:gd name="T18" fmla="*/ 0 w 21600"/>
            <a:gd name="T19" fmla="*/ 10800 h 21600"/>
            <a:gd name="T20" fmla="*/ 10800 w 21600"/>
            <a:gd name="T21" fmla="*/ 21600 h 21600"/>
            <a:gd name="T22" fmla="*/ 21600 w 21600"/>
            <a:gd name="T23" fmla="*/ 10800 h 21600"/>
            <a:gd name="T24" fmla="*/ 10800 w 21600"/>
            <a:gd name="T25" fmla="*/ 0 h 21600"/>
            <a:gd name="T26" fmla="*/ 10800 w 21600"/>
            <a:gd name="T27" fmla="*/ 18277 h 21600"/>
            <a:gd name="T28" fmla="*/ 3489 w 21600"/>
            <a:gd name="T29" fmla="*/ 10966 h 21600"/>
            <a:gd name="T30" fmla="*/ 10800 w 21600"/>
            <a:gd name="T31" fmla="*/ 3655 h 21600"/>
            <a:gd name="T32" fmla="*/ 18111 w 21600"/>
            <a:gd name="T33" fmla="*/ 10966 h 21600"/>
            <a:gd name="T34" fmla="*/ 10800 w 21600"/>
            <a:gd name="T35" fmla="*/ 18277 h 21600"/>
            <a:gd name="T36" fmla="*/ 10135 w 21600"/>
            <a:gd name="T37" fmla="*/ 11797 h 21600"/>
            <a:gd name="T38" fmla="*/ 8640 w 21600"/>
            <a:gd name="T39" fmla="*/ 16283 h 21600"/>
            <a:gd name="T40" fmla="*/ 10800 w 21600"/>
            <a:gd name="T41" fmla="*/ 16782 h 21600"/>
            <a:gd name="T42" fmla="*/ 12960 w 21600"/>
            <a:gd name="T43" fmla="*/ 16283 h 21600"/>
            <a:gd name="T44" fmla="*/ 11465 w 21600"/>
            <a:gd name="T45" fmla="*/ 11797 h 21600"/>
            <a:gd name="T46" fmla="*/ 10135 w 21600"/>
            <a:gd name="T47" fmla="*/ 11797 h 21600"/>
            <a:gd name="T48" fmla="*/ 14455 w 21600"/>
            <a:gd name="T49" fmla="*/ 6480 h 21600"/>
            <a:gd name="T50" fmla="*/ 13292 w 21600"/>
            <a:gd name="T51" fmla="*/ 10135 h 21600"/>
            <a:gd name="T52" fmla="*/ 16449 w 21600"/>
            <a:gd name="T53" fmla="*/ 10135 h 21600"/>
            <a:gd name="T54" fmla="*/ 14455 w 21600"/>
            <a:gd name="T55" fmla="*/ 6480 h 21600"/>
            <a:gd name="T56" fmla="*/ 14455 w 21600"/>
            <a:gd name="T57" fmla="*/ 15286 h 21600"/>
            <a:gd name="T58" fmla="*/ 16449 w 21600"/>
            <a:gd name="T59" fmla="*/ 11631 h 21600"/>
            <a:gd name="T60" fmla="*/ 13292 w 21600"/>
            <a:gd name="T61" fmla="*/ 11631 h 21600"/>
            <a:gd name="T62" fmla="*/ 14455 w 21600"/>
            <a:gd name="T63" fmla="*/ 15286 h 21600"/>
            <a:gd name="T64" fmla="*/ 8640 w 21600"/>
            <a:gd name="T65" fmla="*/ 5649 h 21600"/>
            <a:gd name="T66" fmla="*/ 9969 w 21600"/>
            <a:gd name="T67" fmla="*/ 10135 h 21600"/>
            <a:gd name="T68" fmla="*/ 11465 w 21600"/>
            <a:gd name="T69" fmla="*/ 10135 h 21600"/>
            <a:gd name="T70" fmla="*/ 12794 w 21600"/>
            <a:gd name="T71" fmla="*/ 5649 h 21600"/>
            <a:gd name="T72" fmla="*/ 10634 w 21600"/>
            <a:gd name="T73" fmla="*/ 5151 h 21600"/>
            <a:gd name="T74" fmla="*/ 8640 w 21600"/>
            <a:gd name="T75" fmla="*/ 5649 h 21600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</a:cxnLst>
          <a:rect l="0" t="0" r="r" b="b"/>
          <a:pathLst>
            <a:path w="21600" h="21600">
              <a:moveTo>
                <a:pt x="7311" y="15286"/>
              </a:moveTo>
              <a:cubicBezTo>
                <a:pt x="7975" y="14123"/>
                <a:pt x="8308" y="12960"/>
                <a:pt x="8474" y="11631"/>
              </a:cubicBezTo>
              <a:lnTo>
                <a:pt x="5317" y="11631"/>
              </a:lnTo>
              <a:cubicBezTo>
                <a:pt x="5483" y="13126"/>
                <a:pt x="6148" y="14455"/>
                <a:pt x="7311" y="15286"/>
              </a:cubicBezTo>
              <a:close/>
              <a:moveTo>
                <a:pt x="7311" y="6480"/>
              </a:moveTo>
              <a:cubicBezTo>
                <a:pt x="6148" y="7311"/>
                <a:pt x="5483" y="8640"/>
                <a:pt x="5317" y="10135"/>
              </a:cubicBezTo>
              <a:lnTo>
                <a:pt x="8474" y="10135"/>
              </a:lnTo>
              <a:cubicBezTo>
                <a:pt x="8308" y="8806"/>
                <a:pt x="7809" y="7477"/>
                <a:pt x="7311" y="6480"/>
              </a:cubicBezTo>
              <a:close/>
              <a:moveTo>
                <a:pt x="10800" y="0"/>
              </a:moveTo>
              <a:cubicBezTo>
                <a:pt x="4818" y="0"/>
                <a:pt x="0" y="4818"/>
                <a:pt x="0" y="10800"/>
              </a:cubicBezTo>
              <a:cubicBezTo>
                <a:pt x="0" y="16782"/>
                <a:pt x="4818" y="21600"/>
                <a:pt x="10800" y="21600"/>
              </a:cubicBezTo>
              <a:cubicBezTo>
                <a:pt x="16782" y="21600"/>
                <a:pt x="21600" y="16782"/>
                <a:pt x="21600" y="10800"/>
              </a:cubicBezTo>
              <a:cubicBezTo>
                <a:pt x="21600" y="4818"/>
                <a:pt x="16782" y="0"/>
                <a:pt x="10800" y="0"/>
              </a:cubicBezTo>
              <a:close/>
              <a:moveTo>
                <a:pt x="10800" y="18277"/>
              </a:moveTo>
              <a:cubicBezTo>
                <a:pt x="6646" y="18277"/>
                <a:pt x="3489" y="14954"/>
                <a:pt x="3489" y="10966"/>
              </a:cubicBezTo>
              <a:cubicBezTo>
                <a:pt x="3489" y="6812"/>
                <a:pt x="6812" y="3655"/>
                <a:pt x="10800" y="3655"/>
              </a:cubicBezTo>
              <a:cubicBezTo>
                <a:pt x="14954" y="3655"/>
                <a:pt x="18111" y="6978"/>
                <a:pt x="18111" y="10966"/>
              </a:cubicBezTo>
              <a:cubicBezTo>
                <a:pt x="18277" y="14954"/>
                <a:pt x="14954" y="18277"/>
                <a:pt x="10800" y="18277"/>
              </a:cubicBezTo>
              <a:close/>
              <a:moveTo>
                <a:pt x="10135" y="11797"/>
              </a:moveTo>
              <a:cubicBezTo>
                <a:pt x="9969" y="13292"/>
                <a:pt x="9637" y="14954"/>
                <a:pt x="8640" y="16283"/>
              </a:cubicBezTo>
              <a:cubicBezTo>
                <a:pt x="9305" y="16615"/>
                <a:pt x="9969" y="16782"/>
                <a:pt x="10800" y="16782"/>
              </a:cubicBezTo>
              <a:cubicBezTo>
                <a:pt x="11631" y="16782"/>
                <a:pt x="12295" y="16615"/>
                <a:pt x="12960" y="16283"/>
              </a:cubicBezTo>
              <a:cubicBezTo>
                <a:pt x="12129" y="14954"/>
                <a:pt x="11631" y="13292"/>
                <a:pt x="11465" y="11797"/>
              </a:cubicBezTo>
              <a:lnTo>
                <a:pt x="10135" y="11797"/>
              </a:lnTo>
              <a:close/>
              <a:moveTo>
                <a:pt x="14455" y="6480"/>
              </a:moveTo>
              <a:cubicBezTo>
                <a:pt x="13791" y="7477"/>
                <a:pt x="13458" y="8806"/>
                <a:pt x="13292" y="10135"/>
              </a:cubicBezTo>
              <a:lnTo>
                <a:pt x="16449" y="10135"/>
              </a:lnTo>
              <a:cubicBezTo>
                <a:pt x="16283" y="8640"/>
                <a:pt x="15452" y="7311"/>
                <a:pt x="14455" y="6480"/>
              </a:cubicBezTo>
              <a:close/>
              <a:moveTo>
                <a:pt x="14455" y="15286"/>
              </a:moveTo>
              <a:cubicBezTo>
                <a:pt x="15619" y="14455"/>
                <a:pt x="16283" y="13126"/>
                <a:pt x="16449" y="11631"/>
              </a:cubicBezTo>
              <a:lnTo>
                <a:pt x="13292" y="11631"/>
              </a:lnTo>
              <a:cubicBezTo>
                <a:pt x="13292" y="12960"/>
                <a:pt x="13791" y="14289"/>
                <a:pt x="14455" y="15286"/>
              </a:cubicBezTo>
              <a:close/>
              <a:moveTo>
                <a:pt x="8640" y="5649"/>
              </a:moveTo>
              <a:cubicBezTo>
                <a:pt x="9471" y="6978"/>
                <a:pt x="9969" y="8474"/>
                <a:pt x="9969" y="10135"/>
              </a:cubicBezTo>
              <a:lnTo>
                <a:pt x="11465" y="10135"/>
              </a:lnTo>
              <a:cubicBezTo>
                <a:pt x="11631" y="8474"/>
                <a:pt x="12129" y="6978"/>
                <a:pt x="12794" y="5649"/>
              </a:cubicBezTo>
              <a:cubicBezTo>
                <a:pt x="12129" y="5317"/>
                <a:pt x="11465" y="5151"/>
                <a:pt x="10634" y="5151"/>
              </a:cubicBezTo>
              <a:cubicBezTo>
                <a:pt x="10135" y="5151"/>
                <a:pt x="9305" y="5317"/>
                <a:pt x="8640" y="5649"/>
              </a:cubicBezTo>
            </a:path>
          </a:pathLst>
        </a:custGeom>
        <a:solidFill>
          <a:srgbClr val="FF2525"/>
        </a:solidFill>
        <a:ln w="12700" cap="flat" cmpd="sng">
          <a:solidFill>
            <a:srgbClr val="000000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anchor="t"/>
        <a:lstStyle/>
        <a:p>
          <a:pPr algn="l"/>
          <a:endParaRPr/>
        </a:p>
      </xdr:txBody>
    </xdr:sp>
    <xdr:clientData/>
  </xdr:twoCellAnchor>
  <xdr:twoCellAnchor>
    <xdr:from>
      <xdr:col>4</xdr:col>
      <xdr:colOff>293339</xdr:colOff>
      <xdr:row>13</xdr:row>
      <xdr:rowOff>0</xdr:rowOff>
    </xdr:from>
    <xdr:to>
      <xdr:col>5</xdr:col>
      <xdr:colOff>4851</xdr:colOff>
      <xdr:row>13</xdr:row>
      <xdr:rowOff>202703</xdr:rowOff>
    </xdr:to>
    <xdr:pic>
      <xdr:nvPicPr>
        <xdr:cNvPr id="8" name="Gráfico 1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771900" y="2879650"/>
          <a:ext cx="207403" cy="207403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4</xdr:col>
      <xdr:colOff>296081</xdr:colOff>
      <xdr:row>15</xdr:row>
      <xdr:rowOff>12501</xdr:rowOff>
    </xdr:from>
    <xdr:to>
      <xdr:col>4</xdr:col>
      <xdr:colOff>491275</xdr:colOff>
      <xdr:row>15</xdr:row>
      <xdr:rowOff>215205</xdr:rowOff>
    </xdr:to>
    <xdr:pic>
      <xdr:nvPicPr>
        <xdr:cNvPr id="9" name="Gráfico 2" descr=" 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3774761" y="3352800"/>
          <a:ext cx="195264" cy="19526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4</xdr:col>
      <xdr:colOff>291146</xdr:colOff>
      <xdr:row>14</xdr:row>
      <xdr:rowOff>12501</xdr:rowOff>
    </xdr:from>
    <xdr:to>
      <xdr:col>5</xdr:col>
      <xdr:colOff>0</xdr:colOff>
      <xdr:row>14</xdr:row>
      <xdr:rowOff>215205</xdr:rowOff>
    </xdr:to>
    <xdr:pic>
      <xdr:nvPicPr>
        <xdr:cNvPr id="10" name="Gráfico 3" descr=" "/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3769998" y="3116579"/>
          <a:ext cx="203835" cy="20383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4</xdr:col>
      <xdr:colOff>298822</xdr:colOff>
      <xdr:row>16</xdr:row>
      <xdr:rowOff>12501</xdr:rowOff>
    </xdr:from>
    <xdr:to>
      <xdr:col>4</xdr:col>
      <xdr:colOff>492920</xdr:colOff>
      <xdr:row>16</xdr:row>
      <xdr:rowOff>202703</xdr:rowOff>
    </xdr:to>
    <xdr:pic>
      <xdr:nvPicPr>
        <xdr:cNvPr id="11" name="Gráfico 4" descr=" "/>
        <xdr:cNvPicPr/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3777615" y="3577590"/>
          <a:ext cx="194310" cy="19431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204915</xdr:colOff>
      <xdr:row>2</xdr:row>
      <xdr:rowOff>146639</xdr:rowOff>
    </xdr:from>
    <xdr:to>
      <xdr:col>1</xdr:col>
      <xdr:colOff>136910</xdr:colOff>
      <xdr:row>3</xdr:row>
      <xdr:rowOff>171977</xdr:rowOff>
    </xdr:to>
    <xdr:grpSp>
      <xdr:nvGrpSpPr>
        <xdr:cNvPr id="13" name=" "/>
        <xdr:cNvGrpSpPr/>
      </xdr:nvGrpSpPr>
      <xdr:grpSpPr>
        <a:xfrm>
          <a:off x="204915" y="658736"/>
          <a:ext cx="218769" cy="230176"/>
          <a:chOff x="1123950" y="676275"/>
          <a:chExt cx="227164" cy="228600"/>
        </a:xfrm>
        <a:solidFill>
          <a:srgbClr val="FF2525"/>
        </a:solidFill>
      </xdr:grpSpPr>
      <xdr:sp macro="" textlink="">
        <xdr:nvSpPr>
          <xdr:cNvPr id="14" name="ellipse"/>
          <xdr:cNvSpPr/>
        </xdr:nvSpPr>
        <xdr:spPr>
          <a:xfrm>
            <a:off x="1123950" y="676275"/>
            <a:ext cx="227164" cy="228600"/>
          </a:xfrm>
          <a:prstGeom prst="ellipse">
            <a:avLst/>
          </a:prstGeom>
          <a:grpFill/>
          <a:ln w="9525" cap="flat" cmpd="sng">
            <a:noFill/>
            <a:prstDash val="solid"/>
            <a:miter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anchor="t"/>
          <a:lstStyle/>
          <a:p>
            <a:pPr algn="l"/>
            <a:endParaRPr/>
          </a:p>
        </xdr:txBody>
      </xdr:sp>
      <xdr:sp macro="" textlink="">
        <xdr:nvSpPr>
          <xdr:cNvPr id="15" name="CustGemo"/>
          <xdr:cNvSpPr/>
        </xdr:nvSpPr>
        <xdr:spPr>
          <a:xfrm>
            <a:off x="1174206" y="709614"/>
            <a:ext cx="133753" cy="174618"/>
          </a:xfrm>
          <a:custGeom>
            <a:avLst/>
            <a:gdLst>
              <a:gd name="T0" fmla="*/ 10800 w 21600"/>
              <a:gd name="T1" fmla="*/ 0 h 21600"/>
              <a:gd name="T2" fmla="*/ 0 w 21600"/>
              <a:gd name="T3" fmla="*/ 8287 h 21600"/>
              <a:gd name="T4" fmla="*/ 10800 w 21600"/>
              <a:gd name="T5" fmla="*/ 21600 h 21600"/>
              <a:gd name="T6" fmla="*/ 21600 w 21600"/>
              <a:gd name="T7" fmla="*/ 8287 h 21600"/>
              <a:gd name="T8" fmla="*/ 10800 w 21600"/>
              <a:gd name="T9" fmla="*/ 0 h 21600"/>
              <a:gd name="T10" fmla="*/ 10800 w 21600"/>
              <a:gd name="T11" fmla="*/ 11819 h 21600"/>
              <a:gd name="T12" fmla="*/ 5843 w 21600"/>
              <a:gd name="T13" fmla="*/ 8015 h 21600"/>
              <a:gd name="T14" fmla="*/ 10800 w 21600"/>
              <a:gd name="T15" fmla="*/ 4211 h 21600"/>
              <a:gd name="T16" fmla="*/ 15757 w 21600"/>
              <a:gd name="T17" fmla="*/ 8015 h 21600"/>
              <a:gd name="T18" fmla="*/ 10800 w 21600"/>
              <a:gd name="T19" fmla="*/ 11819 h 2160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</a:cxnLst>
            <a:rect l="0" t="0" r="r" b="b"/>
            <a:pathLst>
              <a:path w="21600" h="21600">
                <a:moveTo>
                  <a:pt x="10800" y="0"/>
                </a:moveTo>
                <a:cubicBezTo>
                  <a:pt x="4780" y="0"/>
                  <a:pt x="0" y="3668"/>
                  <a:pt x="0" y="8287"/>
                </a:cubicBezTo>
                <a:cubicBezTo>
                  <a:pt x="0" y="12906"/>
                  <a:pt x="10800" y="21600"/>
                  <a:pt x="10800" y="21600"/>
                </a:cubicBezTo>
                <a:cubicBezTo>
                  <a:pt x="10800" y="21600"/>
                  <a:pt x="21600" y="12906"/>
                  <a:pt x="21600" y="8287"/>
                </a:cubicBezTo>
                <a:cubicBezTo>
                  <a:pt x="21600" y="3668"/>
                  <a:pt x="16820" y="0"/>
                  <a:pt x="10800" y="0"/>
                </a:cubicBezTo>
                <a:close/>
                <a:moveTo>
                  <a:pt x="10800" y="11819"/>
                </a:moveTo>
                <a:cubicBezTo>
                  <a:pt x="8144" y="11819"/>
                  <a:pt x="5843" y="10189"/>
                  <a:pt x="5843" y="8015"/>
                </a:cubicBezTo>
                <a:cubicBezTo>
                  <a:pt x="5843" y="5977"/>
                  <a:pt x="7967" y="4211"/>
                  <a:pt x="10800" y="4211"/>
                </a:cubicBezTo>
                <a:cubicBezTo>
                  <a:pt x="13456" y="4211"/>
                  <a:pt x="15757" y="5841"/>
                  <a:pt x="15757" y="8015"/>
                </a:cubicBezTo>
                <a:cubicBezTo>
                  <a:pt x="15757" y="10053"/>
                  <a:pt x="13456" y="11819"/>
                  <a:pt x="10800" y="11819"/>
                </a:cubicBezTo>
              </a:path>
            </a:pathLst>
          </a:custGeom>
          <a:grpFill/>
          <a:ln w="12700" cap="flat" cmpd="sng">
            <a:solidFill>
              <a:srgbClr val="000000"/>
            </a:solidFill>
            <a:prstDash val="solid"/>
            <a:miter/>
          </a:ln>
          <a:effectLst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dk1"/>
          </a:fontRef>
        </xdr:style>
        <xdr:txBody>
          <a:bodyPr vertOverflow="clip" horzOverflow="clip" anchor="t"/>
          <a:lstStyle/>
          <a:p>
            <a:pPr algn="l"/>
            <a:endParaRPr/>
          </a:p>
        </xdr:txBody>
      </xdr:sp>
    </xdr:grpSp>
    <xdr:clientData/>
  </xdr:twoCellAnchor>
  <xdr:twoCellAnchor editAs="oneCell">
    <xdr:from>
      <xdr:col>3</xdr:col>
      <xdr:colOff>1956212</xdr:colOff>
      <xdr:row>2</xdr:row>
      <xdr:rowOff>117489</xdr:rowOff>
    </xdr:from>
    <xdr:to>
      <xdr:col>5</xdr:col>
      <xdr:colOff>706694</xdr:colOff>
      <xdr:row>7</xdr:row>
      <xdr:rowOff>128106</xdr:rowOff>
    </xdr:to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08147" y="629586"/>
          <a:ext cx="1362176" cy="11167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ejemplo@gmail.com" TargetMode="External"/><Relationship Id="rId2" Type="http://schemas.openxmlformats.org/officeDocument/2006/relationships/hyperlink" Target="http://www.vargasyasociadosdr.com/" TargetMode="External"/><Relationship Id="rId1" Type="http://schemas.openxmlformats.org/officeDocument/2006/relationships/hyperlink" Target="mailto:wcdconsultores@gmail.com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ejempl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  <pageSetUpPr fitToPage="1"/>
  </sheetPr>
  <dimension ref="A1:J49"/>
  <sheetViews>
    <sheetView showGridLines="0" tabSelected="1" zoomScale="93" zoomScaleNormal="93" workbookViewId="0">
      <selection activeCell="J45" sqref="J45"/>
    </sheetView>
  </sheetViews>
  <sheetFormatPr baseColWidth="10" defaultColWidth="9" defaultRowHeight="15" customHeight="1"/>
  <cols>
    <col min="1" max="2" width="4.28515625" customWidth="1"/>
    <col min="3" max="3" width="11.7109375" customWidth="1"/>
    <col min="4" max="4" width="31.85546875" customWidth="1"/>
    <col min="5" max="5" width="7.42578125" customWidth="1"/>
    <col min="6" max="6" width="16.42578125" customWidth="1"/>
    <col min="7" max="7" width="17.5703125" customWidth="1"/>
    <col min="8" max="8" width="21.85546875" customWidth="1"/>
    <col min="9" max="9" width="4" customWidth="1"/>
    <col min="10" max="256" width="17" customWidth="1"/>
  </cols>
  <sheetData>
    <row r="1" spans="1:9" ht="14.25" customHeight="1">
      <c r="A1" s="64"/>
      <c r="B1" s="64"/>
      <c r="C1" s="65"/>
      <c r="D1" s="65"/>
      <c r="E1" s="66"/>
      <c r="F1" s="66"/>
      <c r="G1" s="66"/>
      <c r="H1" s="67"/>
      <c r="I1" s="67"/>
    </row>
    <row r="2" spans="1:9" ht="25.5" customHeight="1">
      <c r="A2" s="1"/>
      <c r="B2" s="1"/>
      <c r="C2" s="2"/>
      <c r="D2" s="2"/>
      <c r="E2" s="3"/>
      <c r="F2" s="3"/>
      <c r="G2" s="3"/>
      <c r="H2" s="4"/>
      <c r="I2" s="4"/>
    </row>
    <row r="3" spans="1:9" ht="15.75" customHeight="1">
      <c r="A3" s="5"/>
      <c r="B3" s="5"/>
      <c r="C3" s="7" t="s">
        <v>25</v>
      </c>
      <c r="D3" s="58"/>
      <c r="E3" s="6"/>
      <c r="F3" s="1"/>
      <c r="G3" s="72" t="s">
        <v>15</v>
      </c>
      <c r="H3" s="72"/>
      <c r="I3" s="6"/>
    </row>
    <row r="4" spans="1:9" ht="18" customHeight="1">
      <c r="A4" s="5"/>
      <c r="B4" s="5"/>
      <c r="C4" s="8" t="s">
        <v>26</v>
      </c>
      <c r="D4" s="58"/>
      <c r="E4" s="6"/>
      <c r="F4" s="1"/>
      <c r="G4" s="72"/>
      <c r="H4" s="72"/>
      <c r="I4" s="6"/>
    </row>
    <row r="5" spans="1:9" ht="18" customHeight="1">
      <c r="A5" s="5"/>
      <c r="B5" s="5"/>
      <c r="C5" s="61" t="s">
        <v>27</v>
      </c>
      <c r="D5" s="58"/>
      <c r="E5" s="6"/>
      <c r="F5" s="1"/>
      <c r="G5" s="72"/>
      <c r="H5" s="72"/>
      <c r="I5" s="6"/>
    </row>
    <row r="6" spans="1:9" ht="18" customHeight="1">
      <c r="A6" s="5"/>
      <c r="B6" s="5"/>
      <c r="C6" s="69" t="s">
        <v>28</v>
      </c>
      <c r="D6" s="58"/>
      <c r="E6" s="1"/>
      <c r="F6" s="9"/>
      <c r="G6" s="1"/>
      <c r="H6" s="56" t="s">
        <v>14</v>
      </c>
      <c r="I6" s="10"/>
    </row>
    <row r="7" spans="1:9" ht="18" customHeight="1">
      <c r="A7" s="5"/>
      <c r="B7" s="5"/>
      <c r="C7" s="60" t="s">
        <v>24</v>
      </c>
      <c r="D7" s="58"/>
      <c r="E7" s="1"/>
      <c r="F7" s="11"/>
      <c r="G7" s="1"/>
      <c r="H7" s="12">
        <f ca="1">TODAY()</f>
        <v>45909</v>
      </c>
      <c r="I7" s="13"/>
    </row>
    <row r="8" spans="1:9" ht="18" customHeight="1">
      <c r="A8" s="5"/>
      <c r="B8" s="5"/>
      <c r="C8" s="59"/>
      <c r="D8" s="8"/>
      <c r="E8" s="1"/>
      <c r="F8" s="9"/>
      <c r="G8" s="1"/>
      <c r="H8" s="56" t="s">
        <v>7</v>
      </c>
      <c r="I8" s="10"/>
    </row>
    <row r="9" spans="1:9" ht="24" customHeight="1">
      <c r="A9" s="5"/>
      <c r="B9" s="5"/>
      <c r="C9" s="8"/>
      <c r="D9" s="8"/>
      <c r="E9" s="1"/>
      <c r="F9" s="14"/>
      <c r="G9" s="1"/>
      <c r="H9" s="15">
        <v>58</v>
      </c>
      <c r="I9" s="14"/>
    </row>
    <row r="10" spans="1:9" ht="18" customHeight="1">
      <c r="A10" s="16"/>
      <c r="B10" s="16"/>
      <c r="C10" s="17"/>
      <c r="D10" s="17"/>
      <c r="E10" s="18"/>
      <c r="F10" s="18"/>
      <c r="G10" s="73"/>
      <c r="H10" s="74"/>
      <c r="I10" s="19"/>
    </row>
    <row r="11" spans="1:9" ht="18" customHeight="1">
      <c r="A11" s="16"/>
      <c r="B11" s="16"/>
      <c r="C11" s="20"/>
      <c r="D11" s="20"/>
      <c r="E11" s="18"/>
      <c r="F11" s="82"/>
      <c r="G11" s="74"/>
      <c r="H11" s="74"/>
      <c r="I11" s="21"/>
    </row>
    <row r="12" spans="1:9" ht="15.75" customHeight="1">
      <c r="A12" s="16"/>
      <c r="B12" s="16"/>
      <c r="C12" s="57" t="s">
        <v>0</v>
      </c>
      <c r="D12" s="22"/>
      <c r="E12" s="18"/>
      <c r="F12" s="57" t="s">
        <v>3</v>
      </c>
      <c r="G12" s="23"/>
      <c r="H12" s="23"/>
      <c r="I12" s="24"/>
    </row>
    <row r="13" spans="1:9" ht="4.5" customHeight="1">
      <c r="A13" s="16"/>
      <c r="B13" s="16"/>
      <c r="C13" s="18"/>
      <c r="D13" s="18"/>
      <c r="E13" s="18"/>
      <c r="F13" s="18"/>
      <c r="G13" s="18"/>
      <c r="H13" s="18"/>
      <c r="I13" s="18"/>
    </row>
    <row r="14" spans="1:9" ht="18" customHeight="1">
      <c r="A14" s="16"/>
      <c r="B14" s="16"/>
      <c r="C14" s="78" t="s">
        <v>17</v>
      </c>
      <c r="D14" s="79"/>
      <c r="E14" s="25"/>
      <c r="F14" s="78" t="s">
        <v>23</v>
      </c>
      <c r="G14" s="79"/>
      <c r="H14" s="79"/>
      <c r="I14" s="26"/>
    </row>
    <row r="15" spans="1:9" ht="18" customHeight="1">
      <c r="A15" s="16"/>
      <c r="B15" s="16"/>
      <c r="C15" s="27" t="s">
        <v>21</v>
      </c>
      <c r="D15" s="28"/>
      <c r="E15" s="25"/>
      <c r="F15" s="78" t="s">
        <v>18</v>
      </c>
      <c r="G15" s="79"/>
      <c r="H15" s="79"/>
      <c r="I15" s="26"/>
    </row>
    <row r="16" spans="1:9" ht="18" customHeight="1">
      <c r="A16" s="16"/>
      <c r="B16" s="16"/>
      <c r="C16" s="90" t="s">
        <v>20</v>
      </c>
      <c r="D16" s="79"/>
      <c r="E16" s="25"/>
      <c r="F16" s="78" t="s">
        <v>21</v>
      </c>
      <c r="G16" s="79"/>
      <c r="H16" s="79"/>
      <c r="I16" s="26"/>
    </row>
    <row r="17" spans="1:9" ht="18" customHeight="1">
      <c r="A17" s="16"/>
      <c r="B17" s="16"/>
      <c r="E17" s="25"/>
      <c r="F17" s="90" t="s">
        <v>20</v>
      </c>
      <c r="G17" s="79"/>
      <c r="H17" s="26"/>
      <c r="I17" s="26"/>
    </row>
    <row r="18" spans="1:9" ht="18" customHeight="1">
      <c r="A18" s="16"/>
      <c r="B18" s="16"/>
      <c r="C18" s="26"/>
      <c r="E18" s="25"/>
      <c r="F18" s="26"/>
      <c r="H18" s="26"/>
      <c r="I18" s="26"/>
    </row>
    <row r="19" spans="1:9" ht="18" customHeight="1">
      <c r="A19" s="16"/>
      <c r="B19" s="16"/>
      <c r="C19" s="62" t="s">
        <v>4</v>
      </c>
      <c r="D19" s="75" t="s">
        <v>6</v>
      </c>
      <c r="E19" s="76"/>
      <c r="F19" s="77"/>
      <c r="G19" s="63" t="s">
        <v>8</v>
      </c>
      <c r="H19" s="62" t="s">
        <v>5</v>
      </c>
      <c r="I19" s="26"/>
    </row>
    <row r="20" spans="1:9" ht="18" customHeight="1">
      <c r="A20" s="16"/>
      <c r="B20" s="16"/>
      <c r="C20" s="29">
        <v>4</v>
      </c>
      <c r="D20" s="80" t="s">
        <v>22</v>
      </c>
      <c r="E20" s="80"/>
      <c r="F20" s="80"/>
      <c r="G20" s="30">
        <v>500</v>
      </c>
      <c r="H20" s="30">
        <f>(C20*G20)</f>
        <v>2000</v>
      </c>
      <c r="I20" s="26"/>
    </row>
    <row r="21" spans="1:9" ht="18" customHeight="1">
      <c r="A21" s="16"/>
      <c r="B21" s="16"/>
      <c r="C21" s="31">
        <v>1</v>
      </c>
      <c r="D21" s="71" t="s">
        <v>22</v>
      </c>
      <c r="E21" s="71"/>
      <c r="F21" s="71"/>
      <c r="G21" s="32">
        <v>45</v>
      </c>
      <c r="H21" s="32">
        <f t="shared" ref="H21:H36" si="0">(C21*G21)</f>
        <v>45</v>
      </c>
      <c r="I21" s="26"/>
    </row>
    <row r="22" spans="1:9" ht="18" customHeight="1">
      <c r="A22" s="16"/>
      <c r="B22" s="16"/>
      <c r="C22" s="29">
        <v>2</v>
      </c>
      <c r="D22" s="80" t="s">
        <v>22</v>
      </c>
      <c r="E22" s="80"/>
      <c r="F22" s="80"/>
      <c r="G22" s="30">
        <v>55</v>
      </c>
      <c r="H22" s="30">
        <f t="shared" si="0"/>
        <v>110</v>
      </c>
      <c r="I22" s="26"/>
    </row>
    <row r="23" spans="1:9" ht="18" customHeight="1">
      <c r="A23" s="16"/>
      <c r="B23" s="16"/>
      <c r="C23" s="31"/>
      <c r="D23" s="71"/>
      <c r="E23" s="71"/>
      <c r="F23" s="71"/>
      <c r="G23" s="32"/>
      <c r="H23" s="32">
        <f t="shared" si="0"/>
        <v>0</v>
      </c>
      <c r="I23" s="26"/>
    </row>
    <row r="24" spans="1:9" ht="18" customHeight="1">
      <c r="A24" s="16"/>
      <c r="B24" s="16"/>
      <c r="C24" s="29"/>
      <c r="D24" s="80"/>
      <c r="E24" s="80"/>
      <c r="F24" s="80"/>
      <c r="G24" s="30"/>
      <c r="H24" s="30">
        <f t="shared" si="0"/>
        <v>0</v>
      </c>
      <c r="I24" s="26"/>
    </row>
    <row r="25" spans="1:9" s="33" customFormat="1" ht="18" customHeight="1">
      <c r="A25" s="16"/>
      <c r="B25" s="16"/>
      <c r="C25" s="31"/>
      <c r="D25" s="83"/>
      <c r="E25" s="84"/>
      <c r="F25" s="85"/>
      <c r="G25" s="32"/>
      <c r="H25" s="32">
        <f t="shared" si="0"/>
        <v>0</v>
      </c>
      <c r="I25" s="27"/>
    </row>
    <row r="26" spans="1:9" s="33" customFormat="1" ht="18" customHeight="1">
      <c r="A26" s="16"/>
      <c r="B26" s="16"/>
      <c r="C26" s="29"/>
      <c r="D26" s="96"/>
      <c r="E26" s="97"/>
      <c r="F26" s="98"/>
      <c r="G26" s="30"/>
      <c r="H26" s="30">
        <f t="shared" si="0"/>
        <v>0</v>
      </c>
      <c r="I26" s="27"/>
    </row>
    <row r="27" spans="1:9" s="33" customFormat="1" ht="18" customHeight="1">
      <c r="A27" s="16"/>
      <c r="B27" s="16"/>
      <c r="C27" s="31"/>
      <c r="D27" s="83"/>
      <c r="E27" s="84"/>
      <c r="F27" s="85"/>
      <c r="G27" s="32"/>
      <c r="H27" s="32">
        <f t="shared" si="0"/>
        <v>0</v>
      </c>
      <c r="I27" s="27"/>
    </row>
    <row r="28" spans="1:9" s="33" customFormat="1" ht="18" customHeight="1">
      <c r="A28" s="16"/>
      <c r="B28" s="16"/>
      <c r="C28" s="29"/>
      <c r="D28" s="96"/>
      <c r="E28" s="97"/>
      <c r="F28" s="98"/>
      <c r="G28" s="30"/>
      <c r="H28" s="30">
        <f t="shared" si="0"/>
        <v>0</v>
      </c>
      <c r="I28" s="27"/>
    </row>
    <row r="29" spans="1:9" s="33" customFormat="1" ht="18" customHeight="1">
      <c r="A29" s="16"/>
      <c r="B29" s="16"/>
      <c r="C29" s="31"/>
      <c r="D29" s="83"/>
      <c r="E29" s="84"/>
      <c r="F29" s="85"/>
      <c r="G29" s="32"/>
      <c r="H29" s="32">
        <f t="shared" si="0"/>
        <v>0</v>
      </c>
      <c r="I29" s="27"/>
    </row>
    <row r="30" spans="1:9" s="33" customFormat="1" ht="18" customHeight="1">
      <c r="A30" s="16"/>
      <c r="B30" s="16"/>
      <c r="C30" s="29"/>
      <c r="D30" s="96"/>
      <c r="E30" s="97"/>
      <c r="F30" s="98"/>
      <c r="G30" s="30"/>
      <c r="H30" s="30">
        <f t="shared" si="0"/>
        <v>0</v>
      </c>
      <c r="I30" s="27"/>
    </row>
    <row r="31" spans="1:9" ht="18" customHeight="1">
      <c r="A31" s="16"/>
      <c r="B31" s="16"/>
      <c r="C31" s="31"/>
      <c r="D31" s="71"/>
      <c r="E31" s="71"/>
      <c r="F31" s="71"/>
      <c r="G31" s="32"/>
      <c r="H31" s="32">
        <f t="shared" si="0"/>
        <v>0</v>
      </c>
      <c r="I31" s="26"/>
    </row>
    <row r="32" spans="1:9" ht="18" customHeight="1">
      <c r="A32" s="16"/>
      <c r="B32" s="16"/>
      <c r="C32" s="29"/>
      <c r="D32" s="80"/>
      <c r="E32" s="80"/>
      <c r="F32" s="80"/>
      <c r="G32" s="30"/>
      <c r="H32" s="30">
        <f t="shared" si="0"/>
        <v>0</v>
      </c>
      <c r="I32" s="26"/>
    </row>
    <row r="33" spans="1:10" ht="18" customHeight="1">
      <c r="A33" s="16"/>
      <c r="B33" s="16"/>
      <c r="C33" s="31"/>
      <c r="D33" s="71"/>
      <c r="E33" s="71"/>
      <c r="F33" s="71"/>
      <c r="G33" s="32"/>
      <c r="H33" s="32">
        <f t="shared" si="0"/>
        <v>0</v>
      </c>
      <c r="I33" s="26"/>
    </row>
    <row r="34" spans="1:10" ht="18" customHeight="1">
      <c r="A34" s="16"/>
      <c r="B34" s="16"/>
      <c r="C34" s="29"/>
      <c r="D34" s="80"/>
      <c r="E34" s="80"/>
      <c r="F34" s="80"/>
      <c r="G34" s="30"/>
      <c r="H34" s="30">
        <f t="shared" si="0"/>
        <v>0</v>
      </c>
      <c r="I34" s="26"/>
    </row>
    <row r="35" spans="1:10" ht="18" customHeight="1">
      <c r="A35" s="16"/>
      <c r="B35" s="16"/>
      <c r="C35" s="31"/>
      <c r="D35" s="71"/>
      <c r="E35" s="71"/>
      <c r="F35" s="71"/>
      <c r="G35" s="32"/>
      <c r="H35" s="32">
        <f t="shared" si="0"/>
        <v>0</v>
      </c>
      <c r="I35" s="26"/>
    </row>
    <row r="36" spans="1:10" ht="18" customHeight="1">
      <c r="A36" s="16"/>
      <c r="B36" s="16"/>
      <c r="C36" s="34"/>
      <c r="D36" s="95"/>
      <c r="E36" s="95"/>
      <c r="F36" s="95"/>
      <c r="G36" s="35"/>
      <c r="H36" s="35">
        <f t="shared" si="0"/>
        <v>0</v>
      </c>
      <c r="I36" s="26"/>
    </row>
    <row r="37" spans="1:10" ht="7.5" customHeight="1">
      <c r="A37" s="16"/>
      <c r="B37" s="16"/>
      <c r="I37" s="36"/>
    </row>
    <row r="38" spans="1:10" ht="19.5" customHeight="1">
      <c r="A38" s="16"/>
      <c r="B38" s="16"/>
      <c r="C38" s="88" t="s">
        <v>9</v>
      </c>
      <c r="D38" s="89"/>
      <c r="E38" s="37"/>
      <c r="F38" s="38"/>
      <c r="G38" s="39" t="s">
        <v>1</v>
      </c>
      <c r="H38" s="40">
        <f>SUM(H20:H36)</f>
        <v>2155</v>
      </c>
      <c r="I38" s="41"/>
    </row>
    <row r="39" spans="1:10" ht="19.5" customHeight="1">
      <c r="A39" s="16"/>
      <c r="B39" s="16"/>
      <c r="C39" s="86" t="s">
        <v>19</v>
      </c>
      <c r="D39" s="87"/>
      <c r="E39" s="87"/>
      <c r="F39" s="38"/>
      <c r="G39" s="42" t="s">
        <v>11</v>
      </c>
      <c r="H39" s="43">
        <v>0</v>
      </c>
      <c r="I39" s="41"/>
    </row>
    <row r="40" spans="1:10" ht="19.5" customHeight="1">
      <c r="A40" s="16"/>
      <c r="B40" s="16"/>
      <c r="C40" s="87"/>
      <c r="D40" s="87"/>
      <c r="E40" s="87"/>
      <c r="F40" s="38"/>
      <c r="G40" s="42" t="s">
        <v>12</v>
      </c>
      <c r="H40" s="44">
        <f>(H38-H39)</f>
        <v>2155</v>
      </c>
      <c r="I40" s="45"/>
    </row>
    <row r="41" spans="1:10" ht="19.5" customHeight="1">
      <c r="A41" s="16"/>
      <c r="B41" s="16"/>
      <c r="C41" s="87"/>
      <c r="D41" s="87"/>
      <c r="E41" s="87"/>
      <c r="F41" s="38"/>
      <c r="G41" s="42" t="s">
        <v>16</v>
      </c>
      <c r="H41" s="46">
        <f>(H40*18%)</f>
        <v>387.9</v>
      </c>
      <c r="I41" s="41"/>
      <c r="J41" s="55"/>
    </row>
    <row r="42" spans="1:10" ht="19.5" customHeight="1">
      <c r="A42" s="16"/>
      <c r="B42" s="16"/>
      <c r="C42" s="87"/>
      <c r="D42" s="87"/>
      <c r="E42" s="87"/>
      <c r="F42" s="38"/>
      <c r="G42" s="47" t="s">
        <v>13</v>
      </c>
      <c r="H42" s="44">
        <v>0</v>
      </c>
      <c r="I42" s="48"/>
    </row>
    <row r="43" spans="1:10" ht="33.75" customHeight="1">
      <c r="A43" s="16"/>
      <c r="B43" s="16"/>
      <c r="C43" s="49"/>
      <c r="D43" s="92"/>
      <c r="E43" s="74"/>
      <c r="F43" s="38"/>
      <c r="G43" s="50" t="s">
        <v>2</v>
      </c>
      <c r="H43" s="70">
        <f>(H40+H41+H42)</f>
        <v>2542.9</v>
      </c>
      <c r="I43" s="51"/>
    </row>
    <row r="44" spans="1:10" ht="9.75" customHeight="1">
      <c r="A44" s="16"/>
      <c r="B44" s="16"/>
      <c r="C44" s="52"/>
      <c r="D44" s="93"/>
      <c r="E44" s="74"/>
      <c r="F44" s="74"/>
      <c r="G44" s="74"/>
      <c r="H44" s="74"/>
      <c r="I44" s="52"/>
    </row>
    <row r="45" spans="1:10" ht="9.75" customHeight="1">
      <c r="A45" s="16"/>
      <c r="B45" s="16"/>
      <c r="C45" s="99"/>
      <c r="D45" s="100"/>
      <c r="E45" s="52"/>
      <c r="F45" s="52"/>
      <c r="G45" s="52"/>
      <c r="H45" s="52"/>
      <c r="I45" s="52"/>
    </row>
    <row r="46" spans="1:10" ht="15.75" customHeight="1">
      <c r="A46" s="16"/>
      <c r="B46" s="16"/>
      <c r="C46" s="53"/>
      <c r="D46" s="94"/>
      <c r="E46" s="94"/>
      <c r="F46" s="94"/>
      <c r="G46" s="94"/>
      <c r="H46" s="94"/>
      <c r="I46" s="53"/>
    </row>
    <row r="47" spans="1:10" ht="15.75" customHeight="1">
      <c r="A47" s="16"/>
      <c r="B47" s="16"/>
      <c r="C47" s="54"/>
      <c r="D47" s="91"/>
      <c r="E47" s="74"/>
      <c r="F47" s="74"/>
      <c r="G47" s="74"/>
      <c r="H47" s="74"/>
      <c r="I47" s="54"/>
    </row>
    <row r="48" spans="1:10" ht="15.75" customHeight="1">
      <c r="A48" s="81" t="s">
        <v>10</v>
      </c>
      <c r="B48" s="81"/>
      <c r="C48" s="81"/>
      <c r="D48" s="81"/>
      <c r="E48" s="81"/>
      <c r="F48" s="81"/>
      <c r="G48" s="81"/>
      <c r="H48" s="81"/>
      <c r="I48" s="81"/>
    </row>
    <row r="49" spans="1:9" ht="15.75" customHeight="1">
      <c r="A49" s="68"/>
      <c r="B49" s="68"/>
      <c r="C49" s="68"/>
      <c r="D49" s="68"/>
      <c r="E49" s="68"/>
      <c r="F49" s="68"/>
      <c r="G49" s="68"/>
      <c r="H49" s="68"/>
      <c r="I49" s="68"/>
    </row>
  </sheetData>
  <mergeCells count="35">
    <mergeCell ref="D46:H46"/>
    <mergeCell ref="D25:F25"/>
    <mergeCell ref="D36:F36"/>
    <mergeCell ref="D31:F31"/>
    <mergeCell ref="D33:F33"/>
    <mergeCell ref="D30:F30"/>
    <mergeCell ref="D28:F28"/>
    <mergeCell ref="D26:F26"/>
    <mergeCell ref="D27:F27"/>
    <mergeCell ref="C45:D45"/>
    <mergeCell ref="A48:I48"/>
    <mergeCell ref="F11:H11"/>
    <mergeCell ref="D29:F29"/>
    <mergeCell ref="C39:E42"/>
    <mergeCell ref="D22:F22"/>
    <mergeCell ref="C38:D38"/>
    <mergeCell ref="C16:D16"/>
    <mergeCell ref="C14:D14"/>
    <mergeCell ref="D47:H47"/>
    <mergeCell ref="D24:F24"/>
    <mergeCell ref="D43:E43"/>
    <mergeCell ref="F17:G17"/>
    <mergeCell ref="D23:F23"/>
    <mergeCell ref="D44:H44"/>
    <mergeCell ref="D34:F34"/>
    <mergeCell ref="D32:F32"/>
    <mergeCell ref="D21:F21"/>
    <mergeCell ref="G3:H5"/>
    <mergeCell ref="D35:F35"/>
    <mergeCell ref="G10:H10"/>
    <mergeCell ref="D19:F19"/>
    <mergeCell ref="F14:H14"/>
    <mergeCell ref="D20:F20"/>
    <mergeCell ref="F15:H15"/>
    <mergeCell ref="F16:H16"/>
  </mergeCells>
  <hyperlinks>
    <hyperlink ref="C6" r:id="rId1" display="wcdconsultores@gmail.com_x000a__x000a__x000a_"/>
    <hyperlink ref="C7" r:id="rId2" display="www.vargasyasociadosdr.com"/>
    <hyperlink ref="C16" r:id="rId3"/>
    <hyperlink ref="F17" r:id="rId4"/>
  </hyperlinks>
  <printOptions horizontalCentered="1" verticalCentered="1"/>
  <pageMargins left="0" right="0" top="0" bottom="0" header="0" footer="0"/>
  <pageSetup paperSize="9" scale="92" orientation="portrait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ProForma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ZBook</dc:creator>
  <cp:lastModifiedBy>user</cp:lastModifiedBy>
  <dcterms:created xsi:type="dcterms:W3CDTF">2021-04-06T12:00:20Z</dcterms:created>
  <dcterms:modified xsi:type="dcterms:W3CDTF">2025-09-09T14:52:46Z</dcterms:modified>
</cp:coreProperties>
</file>